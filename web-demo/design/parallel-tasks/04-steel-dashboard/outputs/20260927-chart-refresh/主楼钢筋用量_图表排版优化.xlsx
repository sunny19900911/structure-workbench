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d7b676382541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用量总览" sheetId="1" r:id="R6e8bdc23d05b4be7"/>
    <x:sheet xmlns:r="http://schemas.openxmlformats.org/officeDocument/2006/relationships" name="按楼层汇总" sheetId="2" r:id="Rc38f3c4956824ea5"/>
    <x:sheet xmlns:r="http://schemas.openxmlformats.org/officeDocument/2006/relationships" name="工程量来源" sheetId="3" r:id="R1e50aef4f0e34b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#,##0.000"/>
    <x:numFmt numFmtId="202" formatCode="0.0%"/>
  </x:numFmts>
  <x:fonts count="13">
    <x:font>
      <x:sz val="11"/>
      <x:name val="Carlito"/>
    </x:font>
    <x:font>
      <x:sz val="10"/>
      <x:color rgb="FF27384D"/>
      <x:name val="Arial"/>
    </x:font>
    <x:font>
      <x:b/>
      <x:sz val="16"/>
      <x:color rgb="FF20364F"/>
      <x:name val="Arial"/>
    </x:font>
    <x:font>
      <x:b/>
      <x:sz val="10"/>
      <x:color rgb="FFFFFFFF"/>
      <x:name val="Arial"/>
    </x:font>
    <x:font>
      <x:i/>
      <x:sz val="9"/>
      <x:color rgb="FF66788A"/>
      <x:name val="Arial"/>
    </x:font>
    <x:font>
      <x:sz val="9"/>
      <x:color rgb="FF975F0D"/>
      <x:name val="Arial"/>
    </x:font>
    <x:font>
      <x:b/>
      <x:sz val="10"/>
      <x:color rgb="FF20364F"/>
      <x:name val="Arial"/>
    </x:font>
    <x:font>
      <x:sz val="9"/>
      <x:color rgb="FF66788A"/>
      <x:name val="Arial"/>
    </x:font>
    <x:font>
      <x:b/>
      <x:sz val="10"/>
      <x:color rgb="FF27384D"/>
      <x:name val="Arial"/>
    </x:font>
    <x:font>
      <x:i/>
      <x:sz val="10"/>
      <x:color rgb="FF27384D"/>
      <x:name val="Arial"/>
    </x:font>
    <x:font>
      <x:b/>
      <x:sz val="17"/>
      <x:color rgb="FF20364F"/>
      <x:name val="Arial"/>
    </x:font>
    <x:font>
      <x:i/>
      <x:sz val="10"/>
      <x:color rgb="FF66788A"/>
      <x:name val="Arial"/>
    </x:font>
    <x:font>
      <x:b/>
      <x:sz val="11"/>
      <x:color rgb="FF20364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365E85"/>
      </x:patternFill>
    </x:fill>
    <x:fill>
      <x:patternFill patternType="solid">
        <x:fgColor rgb="FFFFF4DF"/>
      </x:patternFill>
    </x:fill>
    <x:fill>
      <x:patternFill patternType="solid">
        <x:fgColor rgb="FFEDF3F8"/>
      </x:patternFill>
    </x:fill>
    <x:fill>
      <x:patternFill patternType="solid">
        <x:fgColor rgb="FFF7F9FB"/>
      </x:patternFill>
    </x:fill>
  </x:fills>
  <x:borders count="8">
    <x:border/>
    <x:border>
      <x:bottom style="thin">
        <x:color rgb="FFE2E8EF"/>
      </x:bottom>
    </x:border>
    <x:border>
      <x:top style="thin">
        <x:color rgb="FFE2E8EF"/>
      </x:top>
      <x:bottom style="thin">
        <x:color rgb="FFE2E8EF"/>
      </x:bottom>
    </x:border>
    <x:border>
      <x:top style="thin">
        <x:color rgb="FFE2E8EF"/>
      </x:top>
    </x:border>
    <x:border>
      <x:top style="thin">
        <x:color rgb="FFB9C8D7"/>
      </x:top>
    </x:border>
    <x:border>
      <x:bottom style="thin">
        <x:color rgb="FFE7EDF2"/>
      </x:bottom>
    </x:border>
    <x:border>
      <x:top style="thin">
        <x:color rgb="FFE7EDF2"/>
      </x:top>
      <x:bottom style="thin">
        <x:color rgb="FFE7EDF2"/>
      </x:bottom>
    </x:border>
    <x:border>
      <x:top style="thin">
        <x:color rgb="FFE7EDF2"/>
      </x:top>
    </x:border>
  </x:borders>
  <x:cellStyleXfs count="1">
    <x:xf numFmtId="0" fontId="0" fillId="0" borderId="0"/>
  </x:cellStyleXfs>
  <x:cellXfs count="9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4" xfId="0" applyNumberFormat="1" applyFont="1" applyFill="1" applyBorder="1"/>
    <x:xf numFmtId="200" fontId="1" fillId="0" borderId="1" xfId="0" applyNumberFormat="1" applyFont="1" applyFill="1" applyBorder="1"/>
    <x:xf numFmtId="200" fontId="1" fillId="0" borderId="2" xfId="0" applyNumberFormat="1" applyFont="1" applyFill="1" applyBorder="1"/>
    <x:xf numFmtId="200" fontId="1" fillId="0" borderId="3" xfId="0" applyNumberFormat="1" applyFont="1" applyFill="1" applyBorder="1"/>
    <x:xf numFmtId="200" fontId="6" fillId="4" borderId="4" xfId="0" applyNumberFormat="1" applyFont="1" applyFill="1" applyBorder="1"/>
    <x:xf numFmtId="201" fontId="1" fillId="0" borderId="1" xfId="0" applyNumberFormat="1" applyFont="1" applyFill="1" applyBorder="1"/>
    <x:xf numFmtId="201" fontId="1" fillId="0" borderId="2" xfId="0" applyNumberFormat="1" applyFont="1" applyFill="1" applyBorder="1"/>
    <x:xf numFmtId="201" fontId="1" fillId="0" borderId="3" xfId="0" applyNumberFormat="1" applyFont="1" applyFill="1" applyBorder="1"/>
    <x:xf numFmtId="201" fontId="6" fillId="4" borderId="4" xfId="0" applyNumberFormat="1" applyFont="1" applyFill="1" applyBorder="1"/>
    <x:xf numFmtId="200" fontId="1" fillId="0" borderId="1" xfId="0" applyNumberFormat="1" applyFont="1" applyFill="1" applyBorder="1" applyAlignment="1">
      <x:alignment horizontal="right"/>
    </x:xf>
    <x:xf numFmtId="201" fontId="1" fillId="0" borderId="1" xfId="0" applyNumberFormat="1" applyFont="1" applyFill="1" applyBorder="1" applyAlignment="1">
      <x:alignment horizontal="right"/>
    </x:xf>
    <x:xf numFmtId="200" fontId="1" fillId="0" borderId="2" xfId="0" applyNumberFormat="1" applyFont="1" applyFill="1" applyBorder="1" applyAlignment="1">
      <x:alignment horizontal="right"/>
    </x:xf>
    <x:xf numFmtId="201" fontId="1" fillId="0" borderId="2" xfId="0" applyNumberFormat="1" applyFont="1" applyFill="1" applyBorder="1" applyAlignment="1">
      <x:alignment horizontal="right"/>
    </x:xf>
    <x:xf numFmtId="200" fontId="1" fillId="0" borderId="3" xfId="0" applyNumberFormat="1" applyFont="1" applyFill="1" applyBorder="1" applyAlignment="1">
      <x:alignment horizontal="right"/>
    </x:xf>
    <x:xf numFmtId="201" fontId="1" fillId="0" borderId="3" xfId="0" applyNumberFormat="1" applyFont="1" applyFill="1" applyBorder="1" applyAlignment="1">
      <x:alignment horizontal="right"/>
    </x:xf>
    <x:xf numFmtId="200" fontId="6" fillId="4" borderId="4" xfId="0" applyNumberFormat="1" applyFont="1" applyFill="1" applyBorder="1" applyAlignment="1">
      <x:alignment horizontal="right"/>
    </x:xf>
    <x:xf numFmtId="201" fontId="6" fillId="4" borderId="4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 applyAlignment="1">
      <x:alignment horizontal="center"/>
    </x:xf>
    <x:xf numFmtId="0" fontId="1" fillId="0" borderId="2" xfId="0" applyNumberFormat="1" applyFont="1" applyFill="1" applyBorder="1" applyAlignment="1">
      <x:alignment horizontal="center"/>
    </x:xf>
    <x:xf numFmtId="0" fontId="1" fillId="0" borderId="3" xfId="0" applyNumberFormat="1" applyFont="1" applyFill="1" applyBorder="1" applyAlignment="1">
      <x:alignment horizontal="center"/>
    </x:xf>
    <x:xf numFmtId="0" fontId="6" fillId="4" borderId="4" xfId="0" applyNumberFormat="1" applyFont="1" applyFill="1" applyBorder="1" applyAlignment="1">
      <x:alignment horizontal="center"/>
    </x:xf>
    <x:xf numFmtId="0" fontId="1" fillId="0" borderId="5" xfId="0" applyNumberFormat="1" applyFont="1" applyFill="1" applyBorder="1" applyAlignment="1">
      <x:alignment horizontal="center"/>
    </x:xf>
    <x:xf numFmtId="200" fontId="1" fillId="0" borderId="5" xfId="0" applyNumberFormat="1" applyFont="1" applyFill="1" applyBorder="1" applyAlignment="1">
      <x:alignment horizontal="right"/>
    </x:xf>
    <x:xf numFmtId="201" fontId="1" fillId="0" borderId="5" xfId="0" applyNumberFormat="1" applyFont="1" applyFill="1" applyBorder="1" applyAlignment="1">
      <x:alignment horizontal="right"/>
    </x:xf>
    <x:xf numFmtId="0" fontId="1" fillId="0" borderId="6" xfId="0" applyNumberFormat="1" applyFont="1" applyFill="1" applyBorder="1" applyAlignment="1">
      <x:alignment horizontal="center"/>
    </x:xf>
    <x:xf numFmtId="200" fontId="1" fillId="0" borderId="6" xfId="0" applyNumberFormat="1" applyFont="1" applyFill="1" applyBorder="1" applyAlignment="1">
      <x:alignment horizontal="right"/>
    </x:xf>
    <x:xf numFmtId="201" fontId="1" fillId="0" borderId="6" xfId="0" applyNumberFormat="1" applyFont="1" applyFill="1" applyBorder="1" applyAlignment="1">
      <x:alignment horizontal="right"/>
    </x:xf>
    <x:xf numFmtId="0" fontId="1" fillId="0" borderId="7" xfId="0" applyNumberFormat="1" applyFont="1" applyFill="1" applyBorder="1" applyAlignment="1">
      <x:alignment horizontal="center"/>
    </x:xf>
    <x:xf numFmtId="200" fontId="1" fillId="0" borderId="7" xfId="0" applyNumberFormat="1" applyFont="1" applyFill="1" applyBorder="1" applyAlignment="1">
      <x:alignment horizontal="right"/>
    </x:xf>
    <x:xf numFmtId="201" fontId="1" fillId="0" borderId="7" xfId="0" applyNumberFormat="1" applyFont="1" applyFill="1" applyBorder="1" applyAlignment="1">
      <x:alignment horizontal="right"/>
    </x:xf>
    <x:xf numFmtId="0" fontId="1" fillId="5" borderId="5" xfId="0" applyNumberFormat="1" applyFont="1" applyFill="1" applyBorder="1" applyAlignment="1">
      <x:alignment horizontal="center"/>
    </x:xf>
    <x:xf numFmtId="200" fontId="1" fillId="5" borderId="5" xfId="0" applyNumberFormat="1" applyFont="1" applyFill="1" applyBorder="1" applyAlignment="1">
      <x:alignment horizontal="right"/>
    </x:xf>
    <x:xf numFmtId="201" fontId="1" fillId="5" borderId="5" xfId="0" applyNumberFormat="1" applyFont="1" applyFill="1" applyBorder="1" applyAlignment="1">
      <x:alignment horizontal="right"/>
    </x:xf>
    <x:xf numFmtId="0" fontId="1" fillId="5" borderId="6" xfId="0" applyNumberFormat="1" applyFont="1" applyFill="1" applyBorder="1" applyAlignment="1">
      <x:alignment horizontal="center"/>
    </x:xf>
    <x:xf numFmtId="200" fontId="1" fillId="5" borderId="6" xfId="0" applyNumberFormat="1" applyFont="1" applyFill="1" applyBorder="1" applyAlignment="1">
      <x:alignment horizontal="right"/>
    </x:xf>
    <x:xf numFmtId="201" fontId="1" fillId="5" borderId="6" xfId="0" applyNumberFormat="1" applyFont="1" applyFill="1" applyBorder="1" applyAlignment="1">
      <x:alignment horizontal="right"/>
    </x:xf>
    <x:xf numFmtId="0" fontId="1" fillId="5" borderId="7" xfId="0" applyNumberFormat="1" applyFont="1" applyFill="1" applyBorder="1" applyAlignment="1">
      <x:alignment horizontal="center"/>
    </x:xf>
    <x:xf numFmtId="200" fontId="1" fillId="5" borderId="7" xfId="0" applyNumberFormat="1" applyFont="1" applyFill="1" applyBorder="1" applyAlignment="1">
      <x:alignment horizontal="right"/>
    </x:xf>
    <x:xf numFmtId="201" fontId="1" fillId="5" borderId="7" xfId="0" applyNumberFormat="1" applyFont="1" applyFill="1" applyBorder="1" applyAlignment="1">
      <x:alignment horizontal="right"/>
    </x:xf>
    <x:xf numFmtId="200" fontId="1" fillId="4" borderId="5" xfId="0" applyNumberFormat="1" applyFont="1" applyFill="1" applyBorder="1" applyAlignment="1">
      <x:alignment horizontal="right"/>
    </x:xf>
    <x:xf numFmtId="201" fontId="1" fillId="4" borderId="5" xfId="0" applyNumberFormat="1" applyFont="1" applyFill="1" applyBorder="1" applyAlignment="1">
      <x:alignment horizontal="right"/>
    </x:xf>
    <x:xf numFmtId="200" fontId="1" fillId="4" borderId="6" xfId="0" applyNumberFormat="1" applyFont="1" applyFill="1" applyBorder="1" applyAlignment="1">
      <x:alignment horizontal="right"/>
    </x:xf>
    <x:xf numFmtId="201" fontId="1" fillId="4" borderId="6" xfId="0" applyNumberFormat="1" applyFont="1" applyFill="1" applyBorder="1" applyAlignment="1">
      <x:alignment horizontal="right"/>
    </x:xf>
    <x:xf numFmtId="200" fontId="1" fillId="4" borderId="7" xfId="0" applyNumberFormat="1" applyFont="1" applyFill="1" applyBorder="1" applyAlignment="1">
      <x:alignment horizontal="right"/>
    </x:xf>
    <x:xf numFmtId="201" fontId="1" fillId="4" borderId="7" xfId="0" applyNumberFormat="1" applyFont="1" applyFill="1" applyBorder="1" applyAlignment="1">
      <x:alignment horizontal="right"/>
    </x:xf>
    <x:xf numFmtId="0" fontId="7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200" fontId="6" fillId="4" borderId="0" xfId="0" applyNumberFormat="1" applyFont="1" applyFill="1" applyBorder="1"/>
    <x:xf numFmtId="202" fontId="1" fillId="0" borderId="1" xfId="0" applyNumberFormat="1" applyFont="1" applyFill="1" applyBorder="1"/>
    <x:xf numFmtId="202" fontId="1" fillId="0" borderId="2" xfId="0" applyNumberFormat="1" applyFont="1" applyFill="1" applyBorder="1"/>
    <x:xf numFmtId="202" fontId="1" fillId="0" borderId="3" xfId="0" applyNumberFormat="1" applyFont="1" applyFill="1" applyBorder="1"/>
    <x:xf numFmtId="202" fontId="6" fillId="4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/>
    <x:xf numFmtId="200" fontId="8" fillId="4" borderId="0" xfId="0" applyNumberFormat="1" applyFont="1" applyFill="1" applyBorder="1"/>
    <x:xf numFmtId="202" fontId="8" fillId="4" borderId="0" xfId="0" applyNumberFormat="1" applyFont="1" applyFill="1" applyBorder="1"/>
    <x:xf numFmtId="0" fontId="10" fillId="0" borderId="0" xfId="0" applyNumberFormat="1" applyFont="1" applyFill="1" applyBorder="1"/>
    <x:xf numFmtId="0" fontId="11" fillId="0" borderId="0" xfId="0" applyNumberFormat="1" applyFont="1" applyFill="1" applyBorder="1"/>
    <x:xf numFmtId="202" fontId="1" fillId="0" borderId="1" xfId="0" applyNumberFormat="1" applyFont="1" applyFill="1" applyBorder="1" applyAlignment="1">
      <x:alignment horizontal="right"/>
    </x:xf>
    <x:xf numFmtId="202" fontId="1" fillId="0" borderId="2" xfId="0" applyNumberFormat="1" applyFont="1" applyFill="1" applyBorder="1" applyAlignment="1">
      <x:alignment horizontal="right"/>
    </x:xf>
    <x:xf numFmtId="202" fontId="1" fillId="0" borderId="3" xfId="0" applyNumberFormat="1" applyFont="1" applyFill="1" applyBorder="1" applyAlignment="1">
      <x:alignment horizontal="right"/>
    </x:xf>
    <x:xf numFmtId="200" fontId="8" fillId="4" borderId="0" xfId="0" applyNumberFormat="1" applyFont="1" applyFill="1" applyBorder="1" applyAlignment="1">
      <x:alignment horizontal="right"/>
    </x:xf>
    <x:xf numFmtId="202" fontId="8" fillId="4" borderId="0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right"/>
    </x:xf>
    <x:xf numFmtId="200" fontId="1" fillId="4" borderId="0" xfId="0" applyNumberFormat="1" applyFont="1" applyFill="1" applyBorder="1" applyAlignment="1">
      <x:alignment horizontal="right"/>
    </x:xf>
    <x:xf numFmtId="0" fontId="1" fillId="4" borderId="0" xfId="0" applyNumberFormat="1" applyFont="1" applyFill="1" applyBorder="1" applyAlignment="1">
      <x:alignment horizontal="right"/>
    </x:xf>
    <x:xf numFmtId="200" fontId="6" fillId="4" borderId="0" xfId="0" applyNumberFormat="1" applyFont="1" applyFill="1" applyBorder="1" applyAlignment="1">
      <x:alignment horizontal="right"/>
    </x:xf>
    <x:xf numFmtId="202" fontId="6" fillId="4" borderId="0" xfId="0" applyNumberFormat="1" applyFont="1" applyFill="1" applyBorder="1" applyAlignment="1">
      <x:alignment horizontal="right"/>
    </x:xf>
    <x:xf numFmtId="0" fontId="6" fillId="4" borderId="0" xfId="0" applyNumberFormat="1" applyFont="1" applyFill="1" applyBorder="1" applyAlignment="1">
      <x:alignment horizontal="right"/>
    </x:xf>
    <x:xf numFmtId="0" fontId="12" fillId="0" borderId="0" xfId="0" applyNumberFormat="1" applyFont="1" applyFill="1" applyBorder="1"/>
    <x:xf numFmtId="0" fontId="7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f9c1a92a1446d5" /><Relationship Type="http://schemas.openxmlformats.org/officeDocument/2006/relationships/theme" Target="/xl/theme/theme1.xml" Id="R0d7de642d9934c8b" /><Relationship Type="http://schemas.openxmlformats.org/officeDocument/2006/relationships/sharedStrings" Target="/xl/sharedStrings.xml" Id="R3393edcd03c743e6" /><Relationship Type="http://schemas.openxmlformats.org/officeDocument/2006/relationships/worksheet" Target="/xl/worksheets/sheet1.xml" Id="R6e8bdc23d05b4be7" /><Relationship Type="http://schemas.openxmlformats.org/officeDocument/2006/relationships/worksheet" Target="/xl/worksheets/sheet2.xml" Id="Rc38f3c4956824ea5" /><Relationship Type="http://schemas.openxmlformats.org/officeDocument/2006/relationships/worksheet" Target="/xl/worksheets/sheet3.xml" Id="R1e50aef4f0e34bf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66dc07073054825" /><Relationship Type="http://schemas.openxmlformats.org/officeDocument/2006/relationships/chart" Target="/xl/drawings/charts/chart2.xml" Id="Rfb6a08c5f3d243f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构件钢筋单方（kg/m²）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单方(kg/m²)</c:v>
          </c:tx>
          <c:spPr>
            <a:solidFill xmlns:a="http://schemas.openxmlformats.org/drawingml/2006/main">
              <a:srgbClr val="6789AA"/>
            </a:solidFill>
          </c:spPr>
          <c:cat>
            <c:strRef>
              <c:f>'用量总览'!$A$5:$A$8</c:f>
              <c:strCache>
                <c:ptCount val="0"/>
              </c:strCache>
            </c:strRef>
          </c:cat>
          <c:val>
            <c:numRef>
              <c:f>'用量总览'!$B$5:$B$8</c:f>
              <c:numCache>
                <c:formatCode>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各层含钢量（kg/m²）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合计(kg/m²)</c:v>
          </c:tx>
          <c:spPr>
            <a:solidFill xmlns:a="http://schemas.openxmlformats.org/drawingml/2006/main">
              <a:srgbClr val="6789AA"/>
            </a:solidFill>
          </c:spPr>
          <c:marker>
            <c:symbol val="none"/>
          </c:marker>
          <c:cat>
            <c:strRef>
              <c:f>'按楼层汇总'!$A$6:$A$18</c:f>
              <c:strCache>
                <c:ptCount val="0"/>
              </c:strCache>
            </c:strRef>
          </c:cat>
          <c:val>
            <c:numRef>
              <c:f>'按楼层汇总'!$G$6:$G$18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9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66dc07073054825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9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6a08c5f3d243f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525640ef43844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13.75" hidden="0" customWidth="1"/>
    <x:col min="3" max="3" width="13.75" hidden="0" customWidth="1"/>
    <x:col min="4" max="4" width="3" hidden="0" customWidth="1"/>
    <x:col min="5" max="5" width="12.5" hidden="0" customWidth="1"/>
    <x:col min="6" max="6" width="12.5" hidden="0" customWidth="1"/>
    <x:col min="7" max="7" width="12.5" hidden="0" customWidth="1"/>
    <x:col min="8" max="8" width="12.5" hidden="0" customWidth="1"/>
    <x:col min="9" max="9" width="2.5" hidden="0" customWidth="1"/>
  </x:cols>
  <x:sheetData>
    <x:row r="1" ht="25.5" customHeight="1">
      <x:c r="A1" s="76" t="str">
        <x:v>主楼钢筋用量总览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19.5" customHeight="1">
      <x:c r="A2" s="77" t="str">
        <x:v>13 层历史样本 · 按楼层与构件汇总 · 数据待复核</x:v>
      </x:c>
      <x:c r="B2" s="71"/>
      <x:c r="C2" s="71"/>
      <x:c r="D2" s="71"/>
      <x:c r="E2" s="1"/>
      <x:c r="F2" s="1"/>
      <x:c r="G2" s="1"/>
      <x:c r="H2" s="1"/>
      <x:c r="I2" s="1"/>
      <x:c r="J2" s="1"/>
      <x:c r="K2" s="1"/>
      <x:c r="L2" s="1"/>
    </x:row>
    <x:row r="3" ht="19.5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4" customHeight="1">
      <x:c r="A4" s="64" t="str">
        <x:v>构件</x:v>
      </x:c>
      <x:c r="B4" s="64" t="str">
        <x:v>单方(kg/m²)</x:v>
      </x:c>
      <x:c r="C4" s="64" t="str">
        <x:v>占比</x:v>
      </x:c>
      <x:c r="D4" s="1"/>
      <x:c r="E4" s="1"/>
      <x:c r="F4" s="1"/>
      <x:c r="G4" s="1"/>
      <x:c r="H4" s="1"/>
      <x:c r="I4" s="1"/>
      <x:c r="J4" s="1"/>
      <x:c r="K4" s="1"/>
      <x:c r="L4" s="1"/>
    </x:row>
    <x:row r="5" ht="22.5" customHeight="1">
      <x:c r="A5" s="13" t="str">
        <x:v>梁</x:v>
      </x:c>
      <x:c r="B5" s="27" t="n">
        <x:f>'按楼层汇总'!C19</x:f>
        <x:v>22.233079173784382</x:v>
      </x:c>
      <x:c r="C5" s="78" t="n">
        <x:f>B5/SUM($B$5:$B$8)</x:f>
        <x:v>0.5889118431056157</x:v>
      </x:c>
      <x:c r="D5" s="1"/>
      <x:c r="E5" s="1"/>
      <x:c r="F5" s="1"/>
      <x:c r="G5" s="1"/>
      <x:c r="H5" s="1"/>
      <x:c r="I5" s="1"/>
      <x:c r="J5" s="1"/>
      <x:c r="K5" s="1"/>
      <x:c r="L5" s="1"/>
    </x:row>
    <x:row r="6" ht="22.5" customHeight="1">
      <x:c r="A6" s="14" t="str">
        <x:v>柱</x:v>
      </x:c>
      <x:c r="B6" s="29" t="n">
        <x:f>'按楼层汇总'!D19</x:f>
        <x:v>4.3029518171192676</x:v>
      </x:c>
      <x:c r="C6" s="79" t="n">
        <x:f>B6/SUM($B$5:$B$8)</x:f>
        <x:v>0.1139769829274185</x:v>
      </x:c>
      <x:c r="D6" s="1"/>
      <x:c r="E6" s="1"/>
      <x:c r="F6" s="1"/>
      <x:c r="G6" s="1"/>
      <x:c r="H6" s="1"/>
      <x:c r="I6" s="1"/>
      <x:c r="J6" s="1"/>
      <x:c r="K6" s="1"/>
      <x:c r="L6" s="1"/>
    </x:row>
    <x:row r="7" ht="22.5" customHeight="1">
      <x:c r="A7" s="14" t="str">
        <x:v>墙</x:v>
      </x:c>
      <x:c r="B7" s="29" t="n">
        <x:f>'按楼层汇总'!E19</x:f>
        <x:v>3.78879003350051</x:v>
      </x:c>
      <x:c r="C7" s="79" t="n">
        <x:f>B7/SUM($B$5:$B$8)</x:f>
        <x:v>0.10035781838081678</x:v>
      </x:c>
      <x:c r="D7" s="1"/>
      <x:c r="E7" s="1"/>
      <x:c r="F7" s="1"/>
      <x:c r="G7" s="1"/>
      <x:c r="H7" s="1"/>
      <x:c r="I7" s="1"/>
      <x:c r="J7" s="1"/>
      <x:c r="K7" s="1"/>
      <x:c r="L7" s="1"/>
    </x:row>
    <x:row r="8" ht="22.5" customHeight="1">
      <x:c r="A8" s="15" t="str">
        <x:v>板</x:v>
      </x:c>
      <x:c r="B8" s="31" t="n">
        <x:f>'按楼层汇总'!F19</x:f>
        <x:v>7.427992803449341</x:v>
      </x:c>
      <x:c r="C8" s="80" t="n">
        <x:f>B8/SUM($B$5:$B$8)</x:f>
        <x:v>0.19675335558614895</x:v>
      </x:c>
      <x:c r="D8" s="1"/>
      <x:c r="E8" s="1"/>
      <x:c r="F8" s="1"/>
      <x:c r="G8" s="1"/>
      <x:c r="H8" s="1"/>
      <x:c r="I8" s="1"/>
      <x:c r="J8" s="1"/>
      <x:c r="K8" s="1"/>
      <x:c r="L8" s="1"/>
    </x:row>
    <x:row r="9" ht="22.5" customHeight="1">
      <x:c r="A9" s="17" t="str">
        <x:v>合计</x:v>
      </x:c>
      <x:c r="B9" s="87" t="n">
        <x:f>SUM(B5:B8)</x:f>
        <x:v>37.7528138278535</x:v>
      </x:c>
      <x:c r="C9" s="88" t="n">
        <x:f>SUM(C5:C8)</x:f>
        <x:v>1</x:v>
      </x:c>
      <x:c r="D9" s="1"/>
      <x:c r="E9" s="1"/>
      <x:c r="F9" s="1"/>
      <x:c r="G9" s="1"/>
      <x:c r="H9" s="1"/>
      <x:c r="I9" s="1"/>
      <x:c r="J9" s="1"/>
      <x:c r="K9" s="1"/>
      <x:c r="L9" s="1"/>
    </x:row>
    <x:row r="10" ht="22.5" customHeight="1">
      <x:c r="A10" s="17" t="str">
        <x:v>统计面积（m²）</x:v>
      </x:c>
      <x:c r="B10" s="87" t="n">
        <x:f>'按楼层汇总'!B19</x:f>
        <x:v>51163.4</x:v>
      </x:c>
      <x:c r="C10" s="89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2.5" customHeight="1">
      <x:c r="A11" s="17" t="str">
        <x:v>整体含钢量</x:v>
      </x:c>
      <x:c r="B11" s="87" t="n">
        <x:f>'按楼层汇总'!G19</x:f>
        <x:v>37.75281382785351</x:v>
      </x:c>
      <x:c r="C11" s="89" t="str">
        <x:v>kg/m²</x:v>
      </x:c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19.5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19.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19.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19.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19.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19.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19.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19.5" customHeight="1">
      <x:c r="A19" s="1"/>
      <x:c r="B19" s="1"/>
      <x:c r="C19" s="1"/>
      <x:c r="D19" s="1"/>
      <x:c r="E19" s="1"/>
      <x:c r="F19" s="1"/>
      <x:c r="G19" s="1"/>
      <x:c r="H19" s="1"/>
      <x:c r="I19" s="1"/>
    </x:row>
    <x:row r="20" ht="19.5" customHeight="1">
      <x:c r="A20" s="1"/>
      <x:c r="B20" s="1"/>
      <x:c r="C20" s="1"/>
      <x:c r="D20" s="1"/>
      <x:c r="E20" s="1"/>
      <x:c r="F20" s="1"/>
      <x:c r="G20" s="1"/>
      <x:c r="H20" s="1"/>
      <x:c r="I20" s="1"/>
    </x:row>
    <x:row r="21" ht="19.5" customHeight="1">
      <x:c r="A21" s="1"/>
      <x:c r="B21" s="1"/>
      <x:c r="C21" s="1"/>
      <x:c r="D21" s="1"/>
      <x:c r="E21" s="1"/>
      <x:c r="F21" s="1"/>
      <x:c r="G21" s="1"/>
      <x:c r="H21" s="1"/>
      <x:c r="I21" s="1"/>
    </x:row>
    <x:row r="22" ht="19.5" customHeight="1">
      <x:c r="A22" s="1"/>
      <x:c r="B22" s="1"/>
      <x:c r="C22" s="1"/>
      <x:c r="D22" s="1"/>
      <x:c r="E22" s="1"/>
      <x:c r="F22" s="1"/>
      <x:c r="G22" s="1"/>
      <x:c r="H22" s="1"/>
      <x:c r="I22" s="1"/>
    </x:row>
    <x:row r="23" ht="19.5" customHeight="1">
      <x:c r="A23" s="1"/>
      <x:c r="B23" s="1"/>
      <x:c r="C23" s="1"/>
      <x:c r="D23" s="1"/>
      <x:c r="E23" s="1"/>
      <x:c r="F23" s="1"/>
      <x:c r="G23" s="1"/>
      <x:c r="H23" s="1"/>
      <x:c r="I23" s="1"/>
    </x:row>
    <x:row r="24" ht="19.5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19.5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19.5" customHeight="1">
      <x:c r="A26" s="1"/>
      <x:c r="B26" s="1"/>
      <x:c r="C26" s="1"/>
      <x:c r="D26" s="1"/>
      <x:c r="E26" s="1"/>
      <x:c r="F26" s="1"/>
      <x:c r="G26" s="1"/>
      <x:c r="H26" s="1"/>
      <x:c r="I26" s="1"/>
    </x:row>
    <x:row r="27" ht="19.5" customHeight="1">
      <x:c r="A27" s="1"/>
      <x:c r="B27" s="1"/>
      <x:c r="C27" s="1"/>
      <x:c r="D27" s="1"/>
      <x:c r="E27" s="1"/>
      <x:c r="F27" s="1"/>
      <x:c r="G27" s="1"/>
      <x:c r="H27" s="1"/>
      <x:c r="I27" s="1"/>
    </x:row>
    <x:row r="28" ht="19.5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19.5" customHeight="1">
      <x:c r="A29" s="90" t="str">
        <x:v>统计说明与待复核项</x:v>
      </x:c>
      <x:c r="B29" s="63"/>
      <x:c r="C29" s="63"/>
      <x:c r="D29" s="63"/>
      <x:c r="E29" s="63"/>
      <x:c r="F29" s="63"/>
      <x:c r="G29" s="63"/>
      <x:c r="H29" s="63"/>
      <x:c r="I29" s="1"/>
    </x:row>
    <x:row r="30" ht="19.5" customHeight="1">
      <x:c r="A30" s="63" t="str">
        <x:v>来源：主楼钢筋用量.xls；source_id：LEGACY-105-MAIN-REBAR。</x:v>
      </x:c>
      <x:c r="B30" s="63"/>
      <x:c r="C30" s="63"/>
      <x:c r="D30" s="63"/>
      <x:c r="E30" s="63"/>
      <x:c r="F30" s="63"/>
      <x:c r="G30" s="63"/>
      <x:c r="H30" s="63"/>
      <x:c r="I30" s="1"/>
    </x:row>
    <x:row r="31" ht="19.5" customHeight="1">
      <x:c r="A31" s="91" t="str">
        <x:v>原文事实（既有整理记录）：第1层板原合计为 21 kg，直径分项合计为 57,159.059 kg。</x:v>
      </x:c>
      <x:c r="B31" s="91"/>
      <x:c r="C31" s="91"/>
      <x:c r="D31" s="91"/>
      <x:c r="E31" s="91"/>
      <x:c r="F31" s="91"/>
      <x:c r="G31" s="91"/>
      <x:c r="H31" s="91"/>
      <x:c r="I31" s="1"/>
    </x:row>
    <x:row r="32" ht="19.5" customHeight="1">
      <x:c r="A32" s="91" t="str">
        <x:v>当前沿用分项求和，仅作工作草案；两项取值均保留，尚待结构负责人确认。</x:v>
      </x:c>
      <x:c r="B32" s="91"/>
      <x:c r="C32" s="91"/>
      <x:c r="D32" s="91"/>
      <x:c r="E32" s="91"/>
      <x:c r="F32" s="91"/>
      <x:c r="G32" s="91"/>
      <x:c r="H32" s="91"/>
      <x:c r="I32" s="1"/>
    </x:row>
    <x:row r="33" ht="19.5" customHeight="1">
      <x:c r="A33" s="63" t="str">
        <x:v>单方 = 构件钢筋量(kg) ÷ 楼面面积(m²)；汇总按总量 ÷ 总面积，非各层单方平均。</x:v>
      </x:c>
      <x:c r="B33" s="63"/>
      <x:c r="C33" s="63"/>
      <x:c r="D33" s="63"/>
      <x:c r="E33" s="63"/>
      <x:c r="F33" s="63"/>
      <x:c r="G33" s="63"/>
      <x:c r="H33" s="63"/>
      <x:c r="I33" s="1"/>
    </x:row>
    <x:row r="34" ht="19.5" customHeight="1">
      <x:c r="A34" s="63" t="str">
        <x:v>图表读取明细公式；各层差异供复核，不代表设计质量或优劣排名。</x:v>
      </x:c>
      <x:c r="B34" s="63"/>
      <x:c r="C34" s="63"/>
      <x:c r="D34" s="63"/>
      <x:c r="E34" s="63"/>
      <x:c r="F34" s="63"/>
      <x:c r="G34" s="63"/>
      <x:c r="H34" s="63"/>
      <x:c r="I34" s="1"/>
    </x:row>
  </x:sheetData>
  <x:mergeCells>
    <x:mergeCell ref="A1:H1"/>
    <x:mergeCell ref="A2:H2"/>
    <x:mergeCell ref="A29:H29"/>
    <x:mergeCell ref="A30:H30"/>
    <x:mergeCell ref="A31:H31"/>
    <x:mergeCell ref="A32:H32"/>
    <x:mergeCell ref="A33:H33"/>
    <x:mergeCell ref="A34:H34"/>
  </x:mergeCells>
  <x:pageMargins left="0.7" right="0.7" top="0.75" bottom="0.75" header="0.3" footer="0.3"/>
  <x:drawing xmlns:r="http://schemas.openxmlformats.org/officeDocument/2006/relationships" r:id="Rc525640ef43844e9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.25" hidden="0" customWidth="1"/>
    <x:col min="2" max="2" width="1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8.5" hidden="0" customWidth="1"/>
  </x:cols>
  <x:sheetData>
    <x:row r="1" ht="18" customHeight="1">
      <x:c r="A1" s="2" t="str">
        <x:v>主楼钢筋用量（按构件汇总）</x:v>
      </x:c>
      <x:c r="B1" s="1"/>
      <x:c r="C1" s="1"/>
      <x:c r="D1" s="1"/>
      <x:c r="E1" s="1"/>
      <x:c r="F1" s="1"/>
      <x:c r="G1" s="1"/>
      <x:c r="H1" s="1"/>
    </x:row>
    <x:row r="2" ht="18" customHeight="1">
      <x:c r="A2" s="7" t="str">
        <x:v>来源：主楼钢筋用量.xls；梁含墙梁，墙含边缘构件和墙身。</x:v>
      </x:c>
      <x:c r="B2" s="7"/>
      <x:c r="C2" s="7"/>
      <x:c r="D2" s="7"/>
      <x:c r="E2" s="7"/>
      <x:c r="F2" s="7"/>
      <x:c r="G2" s="7"/>
      <x:c r="H2" s="7"/>
    </x:row>
    <x:row r="3" ht="18" customHeight="1">
      <x:c r="A3" s="9" t="str">
        <x:v>待复核：第1层板采用分项求和，原合计冲突详见“用量总览”。</x:v>
      </x:c>
      <x:c r="B3" s="9"/>
      <x:c r="C3" s="9"/>
      <x:c r="D3" s="9"/>
      <x:c r="E3" s="9"/>
      <x:c r="F3" s="9"/>
      <x:c r="G3" s="9"/>
      <x:c r="H3" s="9"/>
    </x:row>
    <x:row r="4">
      <x:c r="A4" s="1"/>
      <x:c r="B4" s="1"/>
      <x:c r="C4" s="1"/>
      <x:c r="D4" s="1"/>
      <x:c r="E4" s="1"/>
      <x:c r="F4" s="1"/>
      <x:c r="G4" s="1"/>
      <x:c r="H4" s="1"/>
    </x:row>
    <x:row r="5" ht="28.5" customHeight="1">
      <x:c r="A5" s="12" t="str">
        <x:v>楼层</x:v>
      </x:c>
      <x:c r="B5" s="12" t="str">
        <x:v>楼面面积(m²)</x:v>
      </x:c>
      <x:c r="C5" s="12" t="str">
        <x:v>梁(kg/m²)</x:v>
      </x:c>
      <x:c r="D5" s="12" t="str">
        <x:v>柱(kg/m²)</x:v>
      </x:c>
      <x:c r="E5" s="12" t="str">
        <x:v>墙(kg/m²)</x:v>
      </x:c>
      <x:c r="F5" s="12" t="str">
        <x:v>板(kg/m²)</x:v>
      </x:c>
      <x:c r="G5" s="12" t="str">
        <x:v>合计(kg/m²)</x:v>
      </x:c>
      <x:c r="H5" s="12" t="str">
        <x:v>钢筋总量(kg)</x:v>
      </x:c>
    </x:row>
    <x:row r="6" ht="22.5" customHeight="1">
      <x:c r="A6" s="48" t="str">
        <x:f>'工程量来源'!A6</x:f>
        <x:v>第1层</x:v>
      </x:c>
      <x:c r="B6" s="49" t="n">
        <x:f>'工程量来源'!B6</x:f>
        <x:v>5172.58</x:v>
      </x:c>
      <x:c r="C6" s="49" t="n">
        <x:f>IF(B6&gt;0,'工程量来源'!C6/B6,"待补面积")</x:f>
        <x:v>25.08216054657444</x:v>
      </x:c>
      <x:c r="D6" s="49" t="n">
        <x:f>IF(B6&gt;0,'工程量来源'!D6/B6,"待补面积")</x:f>
        <x:v>5.12257925445329</x:v>
      </x:c>
      <x:c r="E6" s="49" t="n">
        <x:f>IF(B6&gt;0,'工程量来源'!E6/B6,"待补面积")</x:f>
        <x:v>12.931313967111189</x:v>
      </x:c>
      <x:c r="F6" s="49" t="n">
        <x:f>IF(B6&gt;0,'工程量来源'!F6/B6,"待补面积")</x:f>
        <x:v>11.050396320598232</x:v>
      </x:c>
      <x:c r="G6" s="57" t="n">
        <x:f>IF(B6&gt;0,SUM(C6:F6),"待补面积")</x:f>
        <x:v>54.186450088737146</x:v>
      </x:c>
      <x:c r="H6" s="58" t="n">
        <x:f>SUM('工程量来源'!C6:F6)</x:f>
        <x:v>280283.748</x:v>
      </x:c>
    </x:row>
    <x:row r="7" ht="22.5" customHeight="1">
      <x:c r="A7" s="42" t="str">
        <x:f>'工程量来源'!A7</x:f>
        <x:v>第2层</x:v>
      </x:c>
      <x:c r="B7" s="43" t="n">
        <x:f>'工程量来源'!B7</x:f>
        <x:v>5316.43</x:v>
      </x:c>
      <x:c r="C7" s="43" t="n">
        <x:f>IF(B7&gt;0,'工程量来源'!C7/B7,"待补面积")</x:f>
        <x:v>24.794218112530395</x:v>
      </x:c>
      <x:c r="D7" s="43" t="n">
        <x:f>IF(B7&gt;0,'工程量来源'!D7/B7,"待补面积")</x:f>
        <x:v>7.449307147841691</x:v>
      </x:c>
      <x:c r="E7" s="43" t="n">
        <x:f>IF(B7&gt;0,'工程量来源'!E7/B7,"待补面积")</x:f>
        <x:v>4.308451159894891</x:v>
      </x:c>
      <x:c r="F7" s="43" t="n">
        <x:f>IF(B7&gt;0,'工程量来源'!F7/B7,"待补面积")</x:f>
        <x:v>9.91067313968208</x:v>
      </x:c>
      <x:c r="G7" s="59" t="n">
        <x:f>IF(B7&gt;0,SUM(C7:F7),"待补面积")</x:f>
        <x:v>46.462649559949064</x:v>
      </x:c>
      <x:c r="H7" s="60" t="n">
        <x:f>SUM('工程量来源'!C7:F7)</x:f>
        <x:v>247015.42399999997</x:v>
      </x:c>
    </x:row>
    <x:row r="8" ht="22.5" customHeight="1">
      <x:c r="A8" s="51" t="str">
        <x:f>'工程量来源'!A8</x:f>
        <x:v>第3层</x:v>
      </x:c>
      <x:c r="B8" s="52" t="n">
        <x:f>'工程量来源'!B8</x:f>
        <x:v>3644.74</x:v>
      </x:c>
      <x:c r="C8" s="52" t="n">
        <x:f>IF(B8&gt;0,'工程量来源'!C8/B8,"待补面积")</x:f>
        <x:v>23.32411502603752</x:v>
      </x:c>
      <x:c r="D8" s="52" t="n">
        <x:f>IF(B8&gt;0,'工程量来源'!D8/B8,"待补面积")</x:f>
        <x:v>6.319175853421643</x:v>
      </x:c>
      <x:c r="E8" s="52" t="n">
        <x:f>IF(B8&gt;0,'工程量来源'!E8/B8,"待补面积")</x:f>
        <x:v>4.403865021922003</x:v>
      </x:c>
      <x:c r="F8" s="52" t="n">
        <x:f>IF(B8&gt;0,'工程量来源'!F8/B8,"待补面积")</x:f>
        <x:v>7.580719063636913</x:v>
      </x:c>
      <x:c r="G8" s="59" t="n">
        <x:f>IF(B8&gt;0,SUM(C8:F8),"待补面积")</x:f>
        <x:v>41.62787496501808</x:v>
      </x:c>
      <x:c r="H8" s="60" t="n">
        <x:f>SUM('工程量来源'!C8:F8)</x:f>
        <x:v>151722.781</x:v>
      </x:c>
    </x:row>
    <x:row r="9" ht="22.5" customHeight="1">
      <x:c r="A9" s="42" t="str">
        <x:f>'工程量来源'!A9</x:f>
        <x:v>第4层</x:v>
      </x:c>
      <x:c r="B9" s="43" t="n">
        <x:f>'工程量来源'!B9</x:f>
        <x:v>3566.08</x:v>
      </x:c>
      <x:c r="C9" s="43" t="n">
        <x:f>IF(B9&gt;0,'工程量来源'!C9/B9,"待补面积")</x:f>
        <x:v>21.924114433776023</x:v>
      </x:c>
      <x:c r="D9" s="43" t="n">
        <x:f>IF(B9&gt;0,'工程量来源'!D9/B9,"待补面积")</x:f>
        <x:v>5.2586102947774584</x:v>
      </x:c>
      <x:c r="E9" s="43" t="n">
        <x:f>IF(B9&gt;0,'工程量来源'!E9/B9,"待补面积")</x:f>
        <x:v>3.795300722361809</x:v>
      </x:c>
      <x:c r="F9" s="43" t="n">
        <x:f>IF(B9&gt;0,'工程量来源'!F9/B9,"待补面积")</x:f>
        <x:v>7.487170786970568</x:v>
      </x:c>
      <x:c r="G9" s="59" t="n">
        <x:f>IF(B9&gt;0,SUM(C9:F9),"待补面积")</x:f>
        <x:v>38.465196237885856</x:v>
      </x:c>
      <x:c r="H9" s="60" t="n">
        <x:f>SUM('工程量来源'!C9:F9)</x:f>
        <x:v>137169.967</x:v>
      </x:c>
    </x:row>
    <x:row r="10" ht="22.5" customHeight="1">
      <x:c r="A10" s="51" t="str">
        <x:f>'工程量来源'!A10</x:f>
        <x:v>第5层</x:v>
      </x:c>
      <x:c r="B10" s="52" t="n">
        <x:f>'工程量来源'!B10</x:f>
        <x:v>4030.4</x:v>
      </x:c>
      <x:c r="C10" s="52" t="n">
        <x:f>IF(B10&gt;0,'工程量来源'!C10/B10,"待补面积")</x:f>
        <x:v>22.98606068876538</x:v>
      </x:c>
      <x:c r="D10" s="52" t="n">
        <x:f>IF(B10&gt;0,'工程量来源'!D10/B10,"待补面积")</x:f>
        <x:v>4.49651324930528</x:v>
      </x:c>
      <x:c r="E10" s="52" t="n">
        <x:f>IF(B10&gt;0,'工程量来源'!E10/B10,"待补面积")</x:f>
        <x:v>2.1148692437475187</x:v>
      </x:c>
      <x:c r="F10" s="52" t="n">
        <x:f>IF(B10&gt;0,'工程量来源'!F10/B10,"待补面积")</x:f>
        <x:v>7.712177451369591</x:v>
      </x:c>
      <x:c r="G10" s="59" t="n">
        <x:f>IF(B10&gt;0,SUM(C10:F10),"待补面积")</x:f>
        <x:v>37.30962063318777</x:v>
      </x:c>
      <x:c r="H10" s="60" t="n">
        <x:f>SUM('工程量来源'!C10:F10)</x:f>
        <x:v>150372.695</x:v>
      </x:c>
    </x:row>
    <x:row r="11" ht="22.5" customHeight="1">
      <x:c r="A11" s="42" t="str">
        <x:f>'工程量来源'!A11</x:f>
        <x:v>第6层</x:v>
      </x:c>
      <x:c r="B11" s="43" t="n">
        <x:f>'工程量来源'!B11</x:f>
        <x:v>3557.61</x:v>
      </x:c>
      <x:c r="C11" s="43" t="n">
        <x:f>IF(B11&gt;0,'工程量来源'!C11/B11,"待补面积")</x:f>
        <x:v>21.379472735909783</x:v>
      </x:c>
      <x:c r="D11" s="43" t="n">
        <x:f>IF(B11&gt;0,'工程量来源'!D11/B11,"待补面积")</x:f>
        <x:v>4.53546172851999</x:v>
      </x:c>
      <x:c r="E11" s="43" t="n">
        <x:f>IF(B11&gt;0,'工程量来源'!E11/B11,"待补面积")</x:f>
        <x:v>2.3589187684990764</x:v>
      </x:c>
      <x:c r="F11" s="43" t="n">
        <x:f>IF(B11&gt;0,'工程量来源'!F11/B11,"待补面积")</x:f>
        <x:v>7.495262268770326</x:v>
      </x:c>
      <x:c r="G11" s="59" t="n">
        <x:f>IF(B11&gt;0,SUM(C11:F11),"待补面积")</x:f>
        <x:v>35.769115501699176</x:v>
      </x:c>
      <x:c r="H11" s="60" t="n">
        <x:f>SUM('工程量来源'!C11:F11)</x:f>
        <x:v>127252.563</x:v>
      </x:c>
    </x:row>
    <x:row r="12" ht="22.5" customHeight="1">
      <x:c r="A12" s="51" t="str">
        <x:f>'工程量来源'!A12</x:f>
        <x:v>第7层</x:v>
      </x:c>
      <x:c r="B12" s="52" t="n">
        <x:f>'工程量来源'!B12</x:f>
        <x:v>4030.4</x:v>
      </x:c>
      <x:c r="C12" s="52" t="n">
        <x:f>IF(B12&gt;0,'工程量来源'!C12/B12,"待补面积")</x:f>
        <x:v>22.797987048431917</x:v>
      </x:c>
      <x:c r="D12" s="52" t="n">
        <x:f>IF(B12&gt;0,'工程量来源'!D12/B12,"待补面积")</x:f>
        <x:v>3.7390393013100436</x:v>
      </x:c>
      <x:c r="E12" s="52" t="n">
        <x:f>IF(B12&gt;0,'工程量来源'!E12/B12,"待补面积")</x:f>
        <x:v>2.0714053195712587</x:v>
      </x:c>
      <x:c r="F12" s="52" t="n">
        <x:f>IF(B12&gt;0,'工程量来源'!F12/B12,"待补面积")</x:f>
        <x:v>7.558001687177451</x:v>
      </x:c>
      <x:c r="G12" s="59" t="n">
        <x:f>IF(B12&gt;0,SUM(C12:F12),"待补面积")</x:f>
        <x:v>36.16643335649067</x:v>
      </x:c>
      <x:c r="H12" s="60" t="n">
        <x:f>SUM('工程量来源'!C12:F12)</x:f>
        <x:v>145765.193</x:v>
      </x:c>
    </x:row>
    <x:row r="13" ht="22.5" customHeight="1">
      <x:c r="A13" s="42" t="str">
        <x:f>'工程量来源'!A13</x:f>
        <x:v>第8层</x:v>
      </x:c>
      <x:c r="B13" s="43" t="n">
        <x:f>'工程量来源'!B13</x:f>
        <x:v>3566.08</x:v>
      </x:c>
      <x:c r="C13" s="43" t="n">
        <x:f>IF(B13&gt;0,'工程量来源'!C13/B13,"待补面积")</x:f>
        <x:v>21.86300363424264</x:v>
      </x:c>
      <x:c r="D13" s="43" t="n">
        <x:f>IF(B13&gt;0,'工程量来源'!D13/B13,"待补面积")</x:f>
        <x:v>3.24183977925341</x:v>
      </x:c>
      <x:c r="E13" s="43" t="n">
        <x:f>IF(B13&gt;0,'工程量来源'!E13/B13,"待补面积")</x:f>
        <x:v>2.3348186243718594</x:v>
      </x:c>
      <x:c r="F13" s="43" t="n">
        <x:f>IF(B13&gt;0,'工程量来源'!F13/B13,"待补面积")</x:f>
        <x:v>7.505162531407035</x:v>
      </x:c>
      <x:c r="G13" s="59" t="n">
        <x:f>IF(B13&gt;0,SUM(C13:F13),"待补面积")</x:f>
        <x:v>34.94482456927495</x:v>
      </x:c>
      <x:c r="H13" s="60" t="n">
        <x:f>SUM('工程量来源'!C13:F13)</x:f>
        <x:v>124616.04</x:v>
      </x:c>
    </x:row>
    <x:row r="14" ht="22.5" customHeight="1">
      <x:c r="A14" s="51" t="str">
        <x:f>'工程量来源'!A14</x:f>
        <x:v>第9层</x:v>
      </x:c>
      <x:c r="B14" s="52" t="n">
        <x:f>'工程量来源'!B14</x:f>
        <x:v>4030.4</x:v>
      </x:c>
      <x:c r="C14" s="52" t="n">
        <x:f>IF(B14&gt;0,'工程量来源'!C14/B14,"待补面积")</x:f>
        <x:v>28.465005706629615</x:v>
      </x:c>
      <x:c r="D14" s="52" t="n">
        <x:f>IF(B14&gt;0,'工程量来源'!D14/B14,"待补面积")</x:f>
        <x:v>4.030444868995633</x:v>
      </x:c>
      <x:c r="E14" s="52" t="n">
        <x:f>IF(B14&gt;0,'工程量来源'!E14/B14,"待补面积")</x:f>
        <x:v>2.241112792774911</x:v>
      </x:c>
      <x:c r="F14" s="52" t="n">
        <x:f>IF(B14&gt;0,'工程量来源'!F14/B14,"待补面积")</x:f>
        <x:v>7.366333366415244</x:v>
      </x:c>
      <x:c r="G14" s="59" t="n">
        <x:f>IF(B14&gt;0,SUM(C14:F14),"待补面积")</x:f>
        <x:v>42.1028967348154</x:v>
      </x:c>
      <x:c r="H14" s="60" t="n">
        <x:f>SUM('工程量来源'!C14:F14)</x:f>
        <x:v>169691.51499999998</x:v>
      </x:c>
    </x:row>
    <x:row r="15" ht="22.5" customHeight="1">
      <x:c r="A15" s="42" t="str">
        <x:f>'工程量来源'!A15</x:f>
        <x:v>第10层</x:v>
      </x:c>
      <x:c r="B15" s="43" t="n">
        <x:f>'工程量来源'!B15</x:f>
        <x:v>3562.17</x:v>
      </x:c>
      <x:c r="C15" s="43" t="n">
        <x:f>IF(B15&gt;0,'工程量来源'!C15/B15,"待补面积")</x:f>
        <x:v>21.010616281648545</x:v>
      </x:c>
      <x:c r="D15" s="43" t="n">
        <x:f>IF(B15&gt;0,'工程量来源'!D15/B15,"待补面积")</x:f>
        <x:v>2.704209512740829</x:v>
      </x:c>
      <x:c r="E15" s="43" t="n">
        <x:f>IF(B15&gt;0,'工程量来源'!E15/B15,"待补面积")</x:f>
        <x:v>2.27855632942841</x:v>
      </x:c>
      <x:c r="F15" s="43" t="n">
        <x:f>IF(B15&gt;0,'工程量来源'!F15/B15,"待补面积")</x:f>
        <x:v>6.019861208196128</x:v>
      </x:c>
      <x:c r="G15" s="59" t="n">
        <x:f>IF(B15&gt;0,SUM(C15:F15),"待补面积")</x:f>
        <x:v>32.01324333201391</x:v>
      </x:c>
      <x:c r="H15" s="60" t="n">
        <x:f>SUM('工程量来源'!C15:F15)</x:f>
        <x:v>114036.615</x:v>
      </x:c>
    </x:row>
    <x:row r="16" ht="22.5" customHeight="1">
      <x:c r="A16" s="51" t="str">
        <x:f>'工程量来源'!A16</x:f>
        <x:v>第11层</x:v>
      </x:c>
      <x:c r="B16" s="52" t="n">
        <x:f>'工程量来源'!B16</x:f>
        <x:v>3562.17</x:v>
      </x:c>
      <x:c r="C16" s="52" t="n">
        <x:f>IF(B16&gt;0,'工程量来源'!C16/B16,"待补面积")</x:f>
        <x:v>22.82092460494586</x:v>
      </x:c>
      <x:c r="D16" s="52" t="n">
        <x:f>IF(B16&gt;0,'工程量来源'!D16/B16,"待补面积")</x:f>
        <x:v>2.396764612581656</x:v>
      </x:c>
      <x:c r="E16" s="52" t="n">
        <x:f>IF(B16&gt;0,'工程量来源'!E16/B16,"待补面积")</x:f>
        <x:v>2.3033872611357684</x:v>
      </x:c>
      <x:c r="F16" s="52" t="n">
        <x:f>IF(B16&gt;0,'工程量来源'!F16/B16,"待补面积")</x:f>
        <x:v>5.883486470325673</x:v>
      </x:c>
      <x:c r="G16" s="59" t="n">
        <x:f>IF(B16&gt;0,SUM(C16:F16),"待补面积")</x:f>
        <x:v>33.40456294898895</x:v>
      </x:c>
      <x:c r="H16" s="60" t="n">
        <x:f>SUM('工程量来源'!C16:F16)</x:f>
        <x:v>118992.732</x:v>
      </x:c>
    </x:row>
    <x:row r="17" ht="22.5" customHeight="1">
      <x:c r="A17" s="42" t="str">
        <x:f>'工程量来源'!A17</x:f>
        <x:v>第12层</x:v>
      </x:c>
      <x:c r="B17" s="43" t="n">
        <x:f>'工程量来源'!B17</x:f>
        <x:v>3562.17</x:v>
      </x:c>
      <x:c r="C17" s="43" t="n">
        <x:f>IF(B17&gt;0,'工程量来源'!C17/B17,"待补面积")</x:f>
        <x:v>20.12240656678373</x:v>
      </x:c>
      <x:c r="D17" s="43" t="n">
        <x:f>IF(B17&gt;0,'工程量来源'!D17/B17,"待补面积")</x:f>
        <x:v>2.4345651667382526</x:v>
      </x:c>
      <x:c r="E17" s="43" t="n">
        <x:f>IF(B17&gt;0,'工程量来源'!E17/B17,"待补面积")</x:f>
        <x:v>2.3578756769048077</x:v>
      </x:c>
      <x:c r="F17" s="43" t="n">
        <x:f>IF(B17&gt;0,'工程量来源'!F17/B17,"待补面积")</x:f>
        <x:v>7.122624692252194</x:v>
      </x:c>
      <x:c r="G17" s="59" t="n">
        <x:f>IF(B17&gt;0,SUM(C17:F17),"待补面积")</x:f>
        <x:v>32.03747210267898</x:v>
      </x:c>
      <x:c r="H17" s="60" t="n">
        <x:f>SUM('工程量来源'!C17:F17)</x:f>
        <x:v>114122.922</x:v>
      </x:c>
    </x:row>
    <x:row r="18" ht="22.5" customHeight="1">
      <x:c r="A18" s="54" t="str">
        <x:f>'工程量来源'!A18</x:f>
        <x:v>第13层</x:v>
      </x:c>
      <x:c r="B18" s="55" t="n">
        <x:f>'工程量来源'!B18</x:f>
        <x:v>3562.17</x:v>
      </x:c>
      <x:c r="C18" s="55" t="n">
        <x:f>IF(B18&gt;0,'工程量来源'!C18/B18,"待补面积")</x:f>
        <x:v>8.892605069381865</x:v>
      </x:c>
      <x:c r="D18" s="55" t="n">
        <x:f>IF(B18&gt;0,'工程量来源'!D18/B18,"待补面积")</x:f>
        <x:v>2.3280146652181113</x:v>
      </x:c>
      <x:c r="E18" s="55" t="n">
        <x:f>IF(B18&gt;0,'工程量来源'!E18/B18,"待补面积")</x:f>
        <x:v>1.9999705235853424</x:v>
      </x:c>
      <x:c r="F18" s="55" t="n">
        <x:f>IF(B18&gt;0,'工程量来源'!F18/B18,"待补面积")</x:f>
        <x:v>0.96180979571441</x:v>
      </x:c>
      <x:c r="G18" s="61" t="n">
        <x:f>IF(B18&gt;0,SUM(C18:F18),"待补面积")</x:f>
        <x:v>14.182400053899729</x:v>
      </x:c>
      <x:c r="H18" s="62" t="n">
        <x:f>SUM('工程量来源'!C18:F18)</x:f>
        <x:v>50520.12</x:v>
      </x:c>
    </x:row>
    <x:row r="19" ht="22.5" customHeight="1">
      <x:c r="A19" s="38" t="str">
        <x:v>汇总</x:v>
      </x:c>
      <x:c r="B19" s="33" t="n">
        <x:f>SUM(B6:B18)</x:f>
        <x:v>51163.4</x:v>
      </x:c>
      <x:c r="C19" s="33" t="n">
        <x:f>IF(B19&gt;0,SUM('工程量来源'!C6:C18)/B19,"待补面积")</x:f>
        <x:v>22.233079173784382</x:v>
      </x:c>
      <x:c r="D19" s="33" t="n">
        <x:f>IF(B19&gt;0,SUM('工程量来源'!D6:D18)/B19,"待补面积")</x:f>
        <x:v>4.3029518171192676</x:v>
      </x:c>
      <x:c r="E19" s="33" t="n">
        <x:f>IF(B19&gt;0,SUM('工程量来源'!E6:E18)/B19,"待补面积")</x:f>
        <x:v>3.78879003350051</x:v>
      </x:c>
      <x:c r="F19" s="33" t="n">
        <x:f>IF(B19&gt;0,SUM('工程量来源'!F6:F18)/B19,"待补面积")</x:f>
        <x:v>7.427992803449341</x:v>
      </x:c>
      <x:c r="G19" s="33" t="n">
        <x:f>IF(B19&gt;0,H19/B19,"待补面积")</x:f>
        <x:v>37.75281382785351</x:v>
      </x:c>
      <x:c r="H19" s="34" t="n">
        <x:f>SUM(H6:H18)</x:f>
        <x:v>1931562.3150000002</x:v>
      </x:c>
    </x:row>
    <x:row r="21" ht="19.5" customHeight="1">
      <x:c r="A21" s="63" t="str">
        <x:v>单方 = 构件钢筋量(kg) ÷ 楼面面积(m²)；汇总按构件总量 ÷ 总面积，不能累加各层单方。</x:v>
      </x:c>
      <x:c r="B21" s="63"/>
      <x:c r="C21" s="63"/>
      <x:c r="D21" s="63"/>
      <x:c r="E21" s="63"/>
      <x:c r="F21" s="63"/>
      <x:c r="G21" s="63"/>
      <x:c r="H21" s="63"/>
    </x:row>
    <x:row r="22" ht="19.5" customHeight="1">
      <x:c r="A22" s="63" t="str">
        <x:v>source_id：LEGACY-105-MAIN-REBAR；历史样本整理，工作草案，待结构负责人复核。</x:v>
      </x:c>
      <x:c r="B22" s="63"/>
      <x:c r="C22" s="63"/>
      <x:c r="D22" s="63"/>
      <x:c r="E22" s="63"/>
      <x:c r="F22" s="63"/>
      <x:c r="G22" s="63"/>
      <x:c r="H22" s="63"/>
    </x:row>
  </x:sheetData>
  <x:mergeCells>
    <x:mergeCell ref="A1:H1"/>
    <x:mergeCell ref="A2:H2"/>
    <x:mergeCell ref="A3:H3"/>
    <x:mergeCell ref="A21:H21"/>
    <x:mergeCell ref="A22:H2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.25" hidden="0" customWidth="1"/>
    <x:col min="2" max="2" width="17.5" hidden="0" customWidth="1"/>
    <x:col min="3" max="3" width="17.5" hidden="0" customWidth="1"/>
    <x:col min="4" max="4" width="17.5" hidden="0" customWidth="1"/>
    <x:col min="5" max="5" width="17.5" hidden="0" customWidth="1"/>
    <x:col min="6" max="6" width="17.5" hidden="0" customWidth="1"/>
  </x:cols>
  <x:sheetData>
    <x:row r="1" ht="22.5" customHeight="1">
      <x:c r="A1" s="2" t="str">
        <x:v>钢筋工程量来源（kg）</x:v>
      </x:c>
      <x:c r="B1" s="1"/>
      <x:c r="C1" s="1"/>
      <x:c r="D1" s="1"/>
      <x:c r="E1" s="1"/>
      <x:c r="F1" s="1"/>
    </x:row>
    <x:row r="2" ht="22.5" customHeight="1">
      <x:c r="A2" s="1" t="str">
        <x:v>沿用任务四既有整理数据；source_id：LEGACY-105-MAIN-REBAR。</x:v>
      </x:c>
      <x:c r="B2" s="1"/>
      <x:c r="C2" s="1"/>
      <x:c r="D2" s="1"/>
      <x:c r="E2" s="1"/>
      <x:c r="F2" s="1"/>
    </x:row>
    <x:row r="3" ht="22.5" customHeight="1">
      <x:c r="A3" s="1" t="str">
        <x:v>第1层板来源冲突及待复核说明见“用量总览”。</x:v>
      </x:c>
      <x:c r="B3" s="1"/>
      <x:c r="C3" s="1"/>
      <x:c r="D3" s="1"/>
      <x:c r="E3" s="1"/>
      <x:c r="F3" s="1"/>
    </x:row>
    <x:row r="4" ht="22.5" customHeight="1">
      <x:c r="A4" s="1"/>
      <x:c r="B4" s="1"/>
      <x:c r="C4" s="1"/>
      <x:c r="D4" s="1"/>
      <x:c r="E4" s="1"/>
      <x:c r="F4" s="1"/>
    </x:row>
    <x:row r="5" ht="22.5" customHeight="1">
      <x:c r="A5" s="6" t="str">
        <x:v>楼层</x:v>
      </x:c>
      <x:c r="B5" s="6" t="str">
        <x:v>楼面面积(m²)</x:v>
      </x:c>
      <x:c r="C5" s="6" t="str">
        <x:v>梁(kg)</x:v>
      </x:c>
      <x:c r="D5" s="6" t="str">
        <x:v>柱(kg)</x:v>
      </x:c>
      <x:c r="E5" s="6" t="str">
        <x:v>墙(kg)</x:v>
      </x:c>
      <x:c r="F5" s="6" t="str">
        <x:v>板(kg)</x:v>
      </x:c>
    </x:row>
    <x:row r="6" ht="22.5" customHeight="1">
      <x:c r="A6" s="1" t="str">
        <x:v>第1层</x:v>
      </x:c>
      <x:c r="B6" s="3" t="n">
        <x:v>5172.58</x:v>
      </x:c>
      <x:c r="C6" s="4" t="n">
        <x:v>129739.482</x:v>
      </x:c>
      <x:c r="D6" s="4" t="n">
        <x:v>26496.951</x:v>
      </x:c>
      <x:c r="E6" s="4" t="n">
        <x:v>66888.256</x:v>
      </x:c>
      <x:c r="F6" s="4" t="n">
        <x:v>57159.059</x:v>
      </x:c>
    </x:row>
    <x:row r="7" ht="22.5" customHeight="1">
      <x:c r="A7" s="1" t="str">
        <x:v>第2层</x:v>
      </x:c>
      <x:c r="B7" s="3" t="n">
        <x:v>5316.43</x:v>
      </x:c>
      <x:c r="C7" s="4" t="n">
        <x:v>131816.72499999998</x:v>
      </x:c>
      <x:c r="D7" s="4" t="n">
        <x:v>39603.72</x:v>
      </x:c>
      <x:c r="E7" s="4" t="n">
        <x:v>22905.578999999998</x:v>
      </x:c>
      <x:c r="F7" s="4" t="n">
        <x:v>52689.4</x:v>
      </x:c>
    </x:row>
    <x:row r="8" ht="22.5" customHeight="1">
      <x:c r="A8" s="1" t="str">
        <x:v>第3层</x:v>
      </x:c>
      <x:c r="B8" s="3" t="n">
        <x:v>3644.74</x:v>
      </x:c>
      <x:c r="C8" s="4" t="n">
        <x:v>85010.33499999999</x:v>
      </x:c>
      <x:c r="D8" s="4" t="n">
        <x:v>23031.752999999997</x:v>
      </x:c>
      <x:c r="E8" s="4" t="n">
        <x:v>16050.943</x:v>
      </x:c>
      <x:c r="F8" s="4" t="n">
        <x:v>27629.75</x:v>
      </x:c>
    </x:row>
    <x:row r="9" ht="22.5" customHeight="1">
      <x:c r="A9" s="1" t="str">
        <x:v>第4层</x:v>
      </x:c>
      <x:c r="B9" s="3" t="n">
        <x:v>3566.08</x:v>
      </x:c>
      <x:c r="C9" s="4" t="n">
        <x:v>78183.146</x:v>
      </x:c>
      <x:c r="D9" s="4" t="n">
        <x:v>18752.625</x:v>
      </x:c>
      <x:c r="E9" s="4" t="n">
        <x:v>13534.346</x:v>
      </x:c>
      <x:c r="F9" s="4" t="n">
        <x:v>26699.850000000002</x:v>
      </x:c>
    </x:row>
    <x:row r="10" ht="22.5" customHeight="1">
      <x:c r="A10" s="1" t="str">
        <x:v>第5层</x:v>
      </x:c>
      <x:c r="B10" s="3" t="n">
        <x:v>4030.4</x:v>
      </x:c>
      <x:c r="C10" s="4" t="n">
        <x:v>92643.019</x:v>
      </x:c>
      <x:c r="D10" s="4" t="n">
        <x:v>18122.747</x:v>
      </x:c>
      <x:c r="E10" s="4" t="n">
        <x:v>8523.769</x:v>
      </x:c>
      <x:c r="F10" s="4" t="n">
        <x:v>31083.16</x:v>
      </x:c>
    </x:row>
    <x:row r="11" ht="22.5" customHeight="1">
      <x:c r="A11" s="1" t="str">
        <x:v>第6层</x:v>
      </x:c>
      <x:c r="B11" s="3" t="n">
        <x:v>3557.61</x:v>
      </x:c>
      <x:c r="C11" s="4" t="n">
        <x:v>76059.826</x:v>
      </x:c>
      <x:c r="D11" s="4" t="n">
        <x:v>16135.404</x:v>
      </x:c>
      <x:c r="E11" s="4" t="n">
        <x:v>8392.113</x:v>
      </x:c>
      <x:c r="F11" s="4" t="n">
        <x:v>26665.22</x:v>
      </x:c>
    </x:row>
    <x:row r="12" ht="22.5" customHeight="1">
      <x:c r="A12" s="1" t="str">
        <x:v>第7层</x:v>
      </x:c>
      <x:c r="B12" s="3" t="n">
        <x:v>4030.4</x:v>
      </x:c>
      <x:c r="C12" s="4" t="n">
        <x:v>91885.007</x:v>
      </x:c>
      <x:c r="D12" s="4" t="n">
        <x:v>15069.824</x:v>
      </x:c>
      <x:c r="E12" s="4" t="n">
        <x:v>8348.592</x:v>
      </x:c>
      <x:c r="F12" s="4" t="n">
        <x:v>30461.77</x:v>
      </x:c>
    </x:row>
    <x:row r="13" ht="22.5" customHeight="1">
      <x:c r="A13" s="1" t="str">
        <x:v>第8层</x:v>
      </x:c>
      <x:c r="B13" s="3" t="n">
        <x:v>3566.08</x:v>
      </x:c>
      <x:c r="C13" s="4" t="n">
        <x:v>77965.22</x:v>
      </x:c>
      <x:c r="D13" s="4" t="n">
        <x:v>11560.66</x:v>
      </x:c>
      <x:c r="E13" s="4" t="n">
        <x:v>8326.15</x:v>
      </x:c>
      <x:c r="F13" s="4" t="n">
        <x:v>26764.01</x:v>
      </x:c>
    </x:row>
    <x:row r="14" ht="22.5" customHeight="1">
      <x:c r="A14" s="1" t="str">
        <x:v>第9层</x:v>
      </x:c>
      <x:c r="B14" s="3" t="n">
        <x:v>4030.4</x:v>
      </x:c>
      <x:c r="C14" s="4" t="n">
        <x:v>114725.359</x:v>
      </x:c>
      <x:c r="D14" s="4" t="n">
        <x:v>16244.305</x:v>
      </x:c>
      <x:c r="E14" s="4" t="n">
        <x:v>9032.581</x:v>
      </x:c>
      <x:c r="F14" s="4" t="n">
        <x:v>29689.27</x:v>
      </x:c>
    </x:row>
    <x:row r="15" ht="22.5" customHeight="1">
      <x:c r="A15" s="1" t="str">
        <x:v>第10层</x:v>
      </x:c>
      <x:c r="B15" s="3" t="n">
        <x:v>3562.17</x:v>
      </x:c>
      <x:c r="C15" s="4" t="n">
        <x:v>74843.387</x:v>
      </x:c>
      <x:c r="D15" s="4" t="n">
        <x:v>9632.854</x:v>
      </x:c>
      <x:c r="E15" s="4" t="n">
        <x:v>8116.605</x:v>
      </x:c>
      <x:c r="F15" s="4" t="n">
        <x:v>21443.769</x:v>
      </x:c>
    </x:row>
    <x:row r="16" ht="22.5" customHeight="1">
      <x:c r="A16" s="1" t="str">
        <x:v>第11层</x:v>
      </x:c>
      <x:c r="B16" s="3" t="n">
        <x:v>3562.17</x:v>
      </x:c>
      <x:c r="C16" s="4" t="n">
        <x:v>81292.01299999999</x:v>
      </x:c>
      <x:c r="D16" s="4" t="n">
        <x:v>8537.682999999999</x:v>
      </x:c>
      <x:c r="E16" s="4" t="n">
        <x:v>8205.057</x:v>
      </x:c>
      <x:c r="F16" s="4" t="n">
        <x:v>20957.979000000003</x:v>
      </x:c>
    </x:row>
    <x:row r="17" ht="22.5" customHeight="1">
      <x:c r="A17" s="1" t="str">
        <x:v>第12层</x:v>
      </x:c>
      <x:c r="B17" s="3" t="n">
        <x:v>3562.17</x:v>
      </x:c>
      <x:c r="C17" s="4" t="n">
        <x:v>71679.433</x:v>
      </x:c>
      <x:c r="D17" s="4" t="n">
        <x:v>8672.335000000001</x:v>
      </x:c>
      <x:c r="E17" s="4" t="n">
        <x:v>8399.153999999999</x:v>
      </x:c>
      <x:c r="F17" s="4" t="n">
        <x:v>25372</x:v>
      </x:c>
    </x:row>
    <x:row r="18" ht="22.5" customHeight="1">
      <x:c r="A18" s="1" t="str">
        <x:v>第13层</x:v>
      </x:c>
      <x:c r="B18" s="3" t="n">
        <x:v>3562.17</x:v>
      </x:c>
      <x:c r="C18" s="4" t="n">
        <x:v>31676.971</x:v>
      </x:c>
      <x:c r="D18" s="4" t="n">
        <x:v>8292.784</x:v>
      </x:c>
      <x:c r="E18" s="4" t="n">
        <x:v>7124.235</x:v>
      </x:c>
      <x:c r="F18" s="4" t="n">
        <x:v>3426.13</x:v>
      </x:c>
    </x:row>
  </x:sheetData>
  <x:mergeCells>
    <x:mergeCell ref="A1:F1"/>
    <x:mergeCell ref="A2:F2"/>
    <x:mergeCell ref="A3:F3"/>
  </x:mergeCells>
  <x:pageMargins left="0.7" right="0.7" top="0.75" bottom="0.75" header="0.3" footer="0.3"/>
</x:worksheet>
</file>