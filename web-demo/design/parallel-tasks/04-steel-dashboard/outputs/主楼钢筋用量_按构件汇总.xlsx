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5c3f1bbab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按楼层汇总" sheetId="1" r:id="Ra3d07fd44a764941"/>
    <x:sheet xmlns:r="http://schemas.openxmlformats.org/officeDocument/2006/relationships" name="构件占比" sheetId="2" r:id="Re73a2220c47a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%"/>
  </x:numFmts>
  <x:fonts count="7">
    <x:font>
      <x:sz val="11"/>
      <x:name val="Carlito"/>
    </x:font>
    <x:font>
      <x:sz val="10"/>
      <x:color rgb="FF27384D"/>
      <x:name val="Arial"/>
    </x:font>
    <x:font>
      <x:b/>
      <x:sz val="16"/>
      <x:color rgb="FF20364F"/>
      <x:name val="Arial"/>
    </x:font>
    <x:font>
      <x:i/>
      <x:sz val="9"/>
      <x:color rgb="FF66788A"/>
      <x:name val="Arial"/>
    </x:font>
    <x:font>
      <x:sz val="9"/>
      <x:color rgb="FF975F0D"/>
      <x:name val="Arial"/>
    </x:font>
    <x:font>
      <x:b/>
      <x:sz val="10"/>
      <x:color rgb="FFFFFFFF"/>
      <x:name val="Arial"/>
    </x:font>
    <x:font>
      <x:b/>
      <x:sz val="10"/>
      <x:color rgb="FF2036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F"/>
      </x:patternFill>
    </x:fill>
    <x:fill>
      <x:patternFill patternType="solid">
        <x:fgColor rgb="FF365E85"/>
      </x:patternFill>
    </x:fill>
    <x:fill>
      <x:patternFill patternType="solid">
        <x:fgColor rgb="FFEDF3F8"/>
      </x:patternFill>
    </x:fill>
  </x:fills>
  <x:borders count="5">
    <x:border/>
    <x:border>
      <x:bottom style="thin">
        <x:color rgb="FFE2E8EF"/>
      </x:bottom>
    </x:border>
    <x:border>
      <x:top style="thin">
        <x:color rgb="FFE2E8EF"/>
      </x:top>
      <x:bottom style="thin">
        <x:color rgb="FFE2E8EF"/>
      </x:bottom>
    </x:border>
    <x:border>
      <x:top style="thin">
        <x:color rgb="FFE2E8EF"/>
      </x:top>
    </x:border>
    <x:border>
      <x:top style="thin">
        <x:color rgb="FFB9C8D7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6" fillId="4" borderId="4" xfId="0" applyNumberFormat="1" applyFont="1" applyFill="1" applyBorder="1"/>
    <x:xf numFmtId="201" fontId="1" fillId="0" borderId="1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6" fillId="4" borderId="4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1" fontId="1" fillId="0" borderId="1" xfId="0" applyNumberFormat="1" applyFont="1" applyFill="1" applyBorder="1" applyAlignment="1">
      <x:alignment horizontal="right"/>
    </x:xf>
    <x:xf numFmtId="200" fontId="1" fillId="0" borderId="2" xfId="0" applyNumberFormat="1" applyFont="1" applyFill="1" applyBorder="1" applyAlignment="1">
      <x:alignment horizontal="right"/>
    </x:xf>
    <x:xf numFmtId="201" fontId="1" fillId="0" borderId="2" xfId="0" applyNumberFormat="1" applyFont="1" applyFill="1" applyBorder="1" applyAlignment="1">
      <x:alignment horizontal="right"/>
    </x:xf>
    <x:xf numFmtId="200" fontId="1" fillId="0" borderId="3" xfId="0" applyNumberFormat="1" applyFont="1" applyFill="1" applyBorder="1" applyAlignment="1">
      <x:alignment horizontal="right"/>
    </x:xf>
    <x:xf numFmtId="201" fontId="1" fillId="0" borderId="3" xfId="0" applyNumberFormat="1" applyFont="1" applyFill="1" applyBorder="1" applyAlignment="1">
      <x:alignment horizontal="right"/>
    </x:xf>
    <x:xf numFmtId="200" fontId="6" fillId="4" borderId="4" xfId="0" applyNumberFormat="1" applyFont="1" applyFill="1" applyBorder="1" applyAlignment="1">
      <x:alignment horizontal="right"/>
    </x:xf>
    <x:xf numFmtId="201" fontId="6" fillId="4" borderId="4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201" fontId="6" fillId="4" borderId="0" xfId="0" applyNumberFormat="1" applyFont="1" applyFill="1" applyBorder="1"/>
    <x:xf numFmtId="202" fontId="1" fillId="0" borderId="1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0cdafeed0418a" /><Relationship Type="http://schemas.openxmlformats.org/officeDocument/2006/relationships/theme" Target="/xl/theme/theme1.xml" Id="Rdfbc84d984824001" /><Relationship Type="http://schemas.openxmlformats.org/officeDocument/2006/relationships/sharedStrings" Target="/xl/sharedStrings.xml" Id="R075cec358f9a420b" /><Relationship Type="http://schemas.openxmlformats.org/officeDocument/2006/relationships/worksheet" Target="/xl/worksheets/sheet1.xml" Id="Ra3d07fd44a764941" /><Relationship Type="http://schemas.openxmlformats.org/officeDocument/2006/relationships/worksheet" Target="/xl/worksheets/sheet2.xml" Id="Re73a2220c47a4f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f0b8d1413a47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钢筋构件占比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钢筋量(t)</c:v>
          </c:tx>
          <c:cat>
            <c:strRef>
              <c:f>'构件占比'!$A$5:$A$8</c:f>
              <c:strCache>
                <c:ptCount val="0"/>
              </c:strCache>
            </c:strRef>
          </c:cat>
          <c:val>
            <c:numRef>
              <c:f>'构件占比'!$B$5:$B$8</c:f>
              <c:numCache>
                <c:formatCode>#,##0.000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f0b8d1413a47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46d7548b0fc4f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25" hidden="0" customWidth="1"/>
    <x:col min="2" max="2" width="1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6.5" hidden="0" customWidth="1"/>
  </x:cols>
  <x:sheetData>
    <x:row r="1" ht="18" customHeight="1">
      <x:c r="A1" s="2" t="str">
        <x:v>主楼钢筋用量（按构件汇总）</x:v>
      </x:c>
      <x:c r="B1" s="1"/>
      <x:c r="C1" s="1"/>
      <x:c r="D1" s="1"/>
      <x:c r="E1" s="1"/>
      <x:c r="F1" s="1"/>
      <x:c r="G1" s="1"/>
      <x:c r="H1" s="1"/>
    </x:row>
    <x:row r="2" ht="18" customHeight="1">
      <x:c r="A2" s="3" t="str">
        <x:v>来源：主楼钢筋用量.xls；梁含墙梁，墙含边缘构件和墙身。</x:v>
      </x:c>
      <x:c r="B2" s="3"/>
      <x:c r="C2" s="3"/>
      <x:c r="D2" s="3"/>
      <x:c r="E2" s="3"/>
      <x:c r="F2" s="3"/>
      <x:c r="G2" s="3"/>
      <x:c r="H2" s="3"/>
    </x:row>
    <x:row r="3" ht="18" customHeight="1">
      <x:c r="A3" s="5" t="str">
        <x:v>数据校验：第1层板来源合计为 21 kg，直径分项求和为 57,159.059 kg；本表按分项求和。</x:v>
      </x:c>
      <x:c r="B3" s="5"/>
      <x:c r="C3" s="5"/>
      <x:c r="D3" s="5"/>
      <x:c r="E3" s="5"/>
      <x:c r="F3" s="5"/>
      <x:c r="G3" s="5"/>
      <x:c r="H3" s="5"/>
    </x:row>
    <x:row r="4">
      <x:c r="A4" s="1"/>
      <x:c r="B4" s="1"/>
      <x:c r="C4" s="1"/>
      <x:c r="D4" s="1"/>
      <x:c r="E4" s="1"/>
      <x:c r="F4" s="1"/>
      <x:c r="G4" s="1"/>
      <x:c r="H4" s="1"/>
    </x:row>
    <x:row r="5" ht="22.5" customHeight="1">
      <x:c r="A5" s="10" t="str">
        <x:v>楼层</x:v>
      </x:c>
      <x:c r="B5" s="10" t="str">
        <x:v>楼面面积(m²)</x:v>
      </x:c>
      <x:c r="C5" s="10" t="str">
        <x:v>梁(t)</x:v>
      </x:c>
      <x:c r="D5" s="10" t="str">
        <x:v>柱(t)</x:v>
      </x:c>
      <x:c r="E5" s="10" t="str">
        <x:v>墙(t)</x:v>
      </x:c>
      <x:c r="F5" s="10" t="str">
        <x:v>板(t)</x:v>
      </x:c>
      <x:c r="G5" s="10" t="str">
        <x:v>合计(t)</x:v>
      </x:c>
      <x:c r="H5" s="10" t="str">
        <x:v>含钢量(kg/m²)</x:v>
      </x:c>
    </x:row>
    <x:row r="6">
      <x:c r="A6" s="33" t="str">
        <x:v>第1层</x:v>
      </x:c>
      <x:c r="B6" s="25" t="n">
        <x:v>5172.58</x:v>
      </x:c>
      <x:c r="C6" s="26" t="n">
        <x:v>129.739482</x:v>
      </x:c>
      <x:c r="D6" s="26" t="n">
        <x:v>26.496951</x:v>
      </x:c>
      <x:c r="E6" s="26" t="n">
        <x:v>66.888256</x:v>
      </x:c>
      <x:c r="F6" s="26" t="n">
        <x:v>57.159059</x:v>
      </x:c>
      <x:c r="G6" s="26" t="n">
        <x:f>SUM(C6:F6)</x:f>
        <x:v>280.283748</x:v>
      </x:c>
      <x:c r="H6" s="25" t="n">
        <x:f>G6*1000/B6</x:f>
        <x:v>54.18645008873715</x:v>
      </x:c>
    </x:row>
    <x:row r="7">
      <x:c r="A7" s="34" t="str">
        <x:v>第2层</x:v>
      </x:c>
      <x:c r="B7" s="27" t="n">
        <x:v>5316.43</x:v>
      </x:c>
      <x:c r="C7" s="28" t="n">
        <x:v>131.816725</x:v>
      </x:c>
      <x:c r="D7" s="28" t="n">
        <x:v>39.60372</x:v>
      </x:c>
      <x:c r="E7" s="28" t="n">
        <x:v>22.905579</x:v>
      </x:c>
      <x:c r="F7" s="28" t="n">
        <x:v>52.6894</x:v>
      </x:c>
      <x:c r="G7" s="28" t="n">
        <x:f>SUM(C7:F7)</x:f>
        <x:v>247.015424</x:v>
      </x:c>
      <x:c r="H7" s="27" t="n">
        <x:f>G7*1000/B7</x:f>
        <x:v>46.462649559949064</x:v>
      </x:c>
    </x:row>
    <x:row r="8">
      <x:c r="A8" s="34" t="str">
        <x:v>第3层</x:v>
      </x:c>
      <x:c r="B8" s="27" t="n">
        <x:v>3644.74</x:v>
      </x:c>
      <x:c r="C8" s="28" t="n">
        <x:v>85.010335</x:v>
      </x:c>
      <x:c r="D8" s="28" t="n">
        <x:v>23.031753</x:v>
      </x:c>
      <x:c r="E8" s="28" t="n">
        <x:v>16.050943</x:v>
      </x:c>
      <x:c r="F8" s="28" t="n">
        <x:v>27.62975</x:v>
      </x:c>
      <x:c r="G8" s="28" t="n">
        <x:f>SUM(C8:F8)</x:f>
        <x:v>151.722781</x:v>
      </x:c>
      <x:c r="H8" s="27" t="n">
        <x:f>G8*1000/B8</x:f>
        <x:v>41.62787496501808</x:v>
      </x:c>
    </x:row>
    <x:row r="9">
      <x:c r="A9" s="34" t="str">
        <x:v>第4层</x:v>
      </x:c>
      <x:c r="B9" s="27" t="n">
        <x:v>3566.08</x:v>
      </x:c>
      <x:c r="C9" s="28" t="n">
        <x:v>78.183146</x:v>
      </x:c>
      <x:c r="D9" s="28" t="n">
        <x:v>18.752625</x:v>
      </x:c>
      <x:c r="E9" s="28" t="n">
        <x:v>13.534346</x:v>
      </x:c>
      <x:c r="F9" s="28" t="n">
        <x:v>26.69985</x:v>
      </x:c>
      <x:c r="G9" s="28" t="n">
        <x:f>SUM(C9:F9)</x:f>
        <x:v>137.16996699999999</x:v>
      </x:c>
      <x:c r="H9" s="27" t="n">
        <x:f>G9*1000/B9</x:f>
        <x:v>38.46519623788585</x:v>
      </x:c>
    </x:row>
    <x:row r="10">
      <x:c r="A10" s="34" t="str">
        <x:v>第5层</x:v>
      </x:c>
      <x:c r="B10" s="27" t="n">
        <x:v>4030.4</x:v>
      </x:c>
      <x:c r="C10" s="28" t="n">
        <x:v>92.643019</x:v>
      </x:c>
      <x:c r="D10" s="28" t="n">
        <x:v>18.122747</x:v>
      </x:c>
      <x:c r="E10" s="28" t="n">
        <x:v>8.523769</x:v>
      </x:c>
      <x:c r="F10" s="28" t="n">
        <x:v>31.08316</x:v>
      </x:c>
      <x:c r="G10" s="28" t="n">
        <x:f>SUM(C10:F10)</x:f>
        <x:v>150.372695</x:v>
      </x:c>
      <x:c r="H10" s="27" t="n">
        <x:f>G10*1000/B10</x:f>
        <x:v>37.30962063318778</x:v>
      </x:c>
    </x:row>
    <x:row r="11">
      <x:c r="A11" s="34" t="str">
        <x:v>第6层</x:v>
      </x:c>
      <x:c r="B11" s="27" t="n">
        <x:v>3557.61</x:v>
      </x:c>
      <x:c r="C11" s="28" t="n">
        <x:v>76.059826</x:v>
      </x:c>
      <x:c r="D11" s="28" t="n">
        <x:v>16.135404</x:v>
      </x:c>
      <x:c r="E11" s="28" t="n">
        <x:v>8.392113</x:v>
      </x:c>
      <x:c r="F11" s="28" t="n">
        <x:v>26.66522</x:v>
      </x:c>
      <x:c r="G11" s="28" t="n">
        <x:f>SUM(C11:F11)</x:f>
        <x:v>127.25256300000001</x:v>
      </x:c>
      <x:c r="H11" s="27" t="n">
        <x:f>G11*1000/B11</x:f>
        <x:v>35.769115501699176</x:v>
      </x:c>
    </x:row>
    <x:row r="12">
      <x:c r="A12" s="34" t="str">
        <x:v>第7层</x:v>
      </x:c>
      <x:c r="B12" s="27" t="n">
        <x:v>4030.4</x:v>
      </x:c>
      <x:c r="C12" s="28" t="n">
        <x:v>91.885007</x:v>
      </x:c>
      <x:c r="D12" s="28" t="n">
        <x:v>15.069824</x:v>
      </x:c>
      <x:c r="E12" s="28" t="n">
        <x:v>8.348592</x:v>
      </x:c>
      <x:c r="F12" s="28" t="n">
        <x:v>30.46177</x:v>
      </x:c>
      <x:c r="G12" s="28" t="n">
        <x:f>SUM(C12:F12)</x:f>
        <x:v>145.765193</x:v>
      </x:c>
      <x:c r="H12" s="27" t="n">
        <x:f>G12*1000/B12</x:f>
        <x:v>36.16643335649067</x:v>
      </x:c>
    </x:row>
    <x:row r="13">
      <x:c r="A13" s="34" t="str">
        <x:v>第8层</x:v>
      </x:c>
      <x:c r="B13" s="27" t="n">
        <x:v>3566.08</x:v>
      </x:c>
      <x:c r="C13" s="28" t="n">
        <x:v>77.96522</x:v>
      </x:c>
      <x:c r="D13" s="28" t="n">
        <x:v>11.56066</x:v>
      </x:c>
      <x:c r="E13" s="28" t="n">
        <x:v>8.32615</x:v>
      </x:c>
      <x:c r="F13" s="28" t="n">
        <x:v>26.76401</x:v>
      </x:c>
      <x:c r="G13" s="28" t="n">
        <x:f>SUM(C13:F13)</x:f>
        <x:v>124.61604</x:v>
      </x:c>
      <x:c r="H13" s="27" t="n">
        <x:f>G13*1000/B13</x:f>
        <x:v>34.94482456927494</x:v>
      </x:c>
    </x:row>
    <x:row r="14">
      <x:c r="A14" s="34" t="str">
        <x:v>第9层</x:v>
      </x:c>
      <x:c r="B14" s="27" t="n">
        <x:v>4030.4</x:v>
      </x:c>
      <x:c r="C14" s="28" t="n">
        <x:v>114.725359</x:v>
      </x:c>
      <x:c r="D14" s="28" t="n">
        <x:v>16.244305</x:v>
      </x:c>
      <x:c r="E14" s="28" t="n">
        <x:v>9.032581</x:v>
      </x:c>
      <x:c r="F14" s="28" t="n">
        <x:v>29.68927</x:v>
      </x:c>
      <x:c r="G14" s="28" t="n">
        <x:f>SUM(C14:F14)</x:f>
        <x:v>169.69151499999998</x:v>
      </x:c>
      <x:c r="H14" s="27" t="n">
        <x:f>G14*1000/B14</x:f>
        <x:v>42.102896734815396</x:v>
      </x:c>
    </x:row>
    <x:row r="15">
      <x:c r="A15" s="34" t="str">
        <x:v>第10层</x:v>
      </x:c>
      <x:c r="B15" s="27" t="n">
        <x:v>3562.17</x:v>
      </x:c>
      <x:c r="C15" s="28" t="n">
        <x:v>74.843387</x:v>
      </x:c>
      <x:c r="D15" s="28" t="n">
        <x:v>9.632854</x:v>
      </x:c>
      <x:c r="E15" s="28" t="n">
        <x:v>8.116605</x:v>
      </x:c>
      <x:c r="F15" s="28" t="n">
        <x:v>21.443769</x:v>
      </x:c>
      <x:c r="G15" s="28" t="n">
        <x:f>SUM(C15:F15)</x:f>
        <x:v>114.03661500000001</x:v>
      </x:c>
      <x:c r="H15" s="27" t="n">
        <x:f>G15*1000/B15</x:f>
        <x:v>32.013243332013914</x:v>
      </x:c>
    </x:row>
    <x:row r="16">
      <x:c r="A16" s="34" t="str">
        <x:v>第11层</x:v>
      </x:c>
      <x:c r="B16" s="27" t="n">
        <x:v>3562.17</x:v>
      </x:c>
      <x:c r="C16" s="28" t="n">
        <x:v>81.292013</x:v>
      </x:c>
      <x:c r="D16" s="28" t="n">
        <x:v>8.537683</x:v>
      </x:c>
      <x:c r="E16" s="28" t="n">
        <x:v>8.205057</x:v>
      </x:c>
      <x:c r="F16" s="28" t="n">
        <x:v>20.957979</x:v>
      </x:c>
      <x:c r="G16" s="28" t="n">
        <x:f>SUM(C16:F16)</x:f>
        <x:v>118.99273199999999</x:v>
      </x:c>
      <x:c r="H16" s="27" t="n">
        <x:f>G16*1000/B16</x:f>
        <x:v>33.40456294898895</x:v>
      </x:c>
    </x:row>
    <x:row r="17">
      <x:c r="A17" s="34" t="str">
        <x:v>第12层</x:v>
      </x:c>
      <x:c r="B17" s="27" t="n">
        <x:v>3562.17</x:v>
      </x:c>
      <x:c r="C17" s="28" t="n">
        <x:v>71.679433</x:v>
      </x:c>
      <x:c r="D17" s="28" t="n">
        <x:v>8.672335</x:v>
      </x:c>
      <x:c r="E17" s="28" t="n">
        <x:v>8.399154</x:v>
      </x:c>
      <x:c r="F17" s="28" t="n">
        <x:v>25.372</x:v>
      </x:c>
      <x:c r="G17" s="28" t="n">
        <x:f>SUM(C17:F17)</x:f>
        <x:v>114.122922</x:v>
      </x:c>
      <x:c r="H17" s="27" t="n">
        <x:f>G17*1000/B17</x:f>
        <x:v>32.03747210267898</x:v>
      </x:c>
    </x:row>
    <x:row r="18">
      <x:c r="A18" s="35" t="str">
        <x:v>第13层</x:v>
      </x:c>
      <x:c r="B18" s="29" t="n">
        <x:v>3562.17</x:v>
      </x:c>
      <x:c r="C18" s="30" t="n">
        <x:v>31.676971</x:v>
      </x:c>
      <x:c r="D18" s="30" t="n">
        <x:v>8.292784</x:v>
      </x:c>
      <x:c r="E18" s="30" t="n">
        <x:v>7.124235</x:v>
      </x:c>
      <x:c r="F18" s="30" t="n">
        <x:v>3.42613</x:v>
      </x:c>
      <x:c r="G18" s="30" t="n">
        <x:f>SUM(C18:F18)</x:f>
        <x:v>50.52012</x:v>
      </x:c>
      <x:c r="H18" s="29" t="n">
        <x:f>G18*1000/B18</x:f>
        <x:v>14.182400053899729</x:v>
      </x:c>
    </x:row>
    <x:row r="19">
      <x:c r="A19" s="36" t="str">
        <x:v>合计</x:v>
      </x:c>
      <x:c r="B19" s="31" t="n">
        <x:f>SUM(B6:B18)</x:f>
        <x:v>51163.4</x:v>
      </x:c>
      <x:c r="C19" s="32" t="n">
        <x:f>SUM(C6:C18)</x:f>
        <x:v>1137.5199230000003</x:v>
      </x:c>
      <x:c r="D19" s="32" t="n">
        <x:f>SUM(D6:D18)</x:f>
        <x:v>220.15364500000004</x:v>
      </x:c>
      <x:c r="E19" s="32" t="n">
        <x:f>SUM(E6:E18)</x:f>
        <x:v>193.84738000000002</x:v>
      </x:c>
      <x:c r="F19" s="32" t="n">
        <x:f>SUM(F6:F18)</x:f>
        <x:v>380.04136700000004</x:v>
      </x:c>
      <x:c r="G19" s="32" t="n">
        <x:f>SUM(G6:G18)</x:f>
        <x:v>1931.5623149999997</x:v>
      </x:c>
      <x:c r="H19" s="31" t="n">
        <x:f>G19*1000/B19</x:f>
        <x:v>37.7528138278535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130000114440918" hidden="0" customWidth="1"/>
    <x:col min="3" max="3" width="13.130000114440918" hidden="0" customWidth="1"/>
  </x:cols>
  <x:sheetData>
    <x:row r="1">
      <x:c r="A1" s="2" t="str">
        <x:v>钢筋构件占比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与“按楼层汇总”联动；数值单位为 t。</x:v>
      </x:c>
      <x:c r="B2" s="3"/>
      <x:c r="C2" s="3"/>
      <x:c r="D2" s="3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7" t="str">
        <x:v>构件</x:v>
      </x:c>
      <x:c r="B4" s="37" t="str">
        <x:v>钢筋量(t)</x:v>
      </x:c>
      <x:c r="C4" s="37" t="str">
        <x:v>占比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1" t="str">
        <x:v>梁</x:v>
      </x:c>
      <x:c r="B5" s="21" t="n">
        <x:f>'按楼层汇总'!C19</x:f>
        <x:v>1137.5199230000003</x:v>
      </x:c>
      <x:c r="C5" s="39" t="n">
        <x:f>B5/SUM($B$5:$B$8)</x:f>
        <x:v>0.5889118431056158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2" t="str">
        <x:v>柱</x:v>
      </x:c>
      <x:c r="B6" s="22" t="n">
        <x:f>'按楼层汇总'!D19</x:f>
        <x:v>220.15364500000004</x:v>
      </x:c>
      <x:c r="C6" s="40" t="n">
        <x:f>B6/SUM($B$5:$B$8)</x:f>
        <x:v>0.11397698292741852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2" t="str">
        <x:v>墙</x:v>
      </x:c>
      <x:c r="B7" s="22" t="n">
        <x:f>'按楼层汇总'!E19</x:f>
        <x:v>193.84738000000002</x:v>
      </x:c>
      <x:c r="C7" s="40" t="n">
        <x:f>B7/SUM($B$5:$B$8)</x:f>
        <x:v>0.10035781838081677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3" t="str">
        <x:v>板</x:v>
      </x:c>
      <x:c r="B8" s="23" t="n">
        <x:f>'按楼层汇总'!F19</x:f>
        <x:v>380.04136700000004</x:v>
      </x:c>
      <x:c r="C8" s="41" t="n">
        <x:f>B8/SUM($B$5:$B$8)</x:f>
        <x:v>0.1967533555861489</x:v>
      </x:c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5" t="str">
        <x:v>合计</x:v>
      </x:c>
      <x:c r="B9" s="38" t="n">
        <x:f>SUM(B5:B8)</x:f>
        <x:v>1931.5623150000004</x:v>
      </x:c>
      <x:c r="C9" s="42" t="n">
        <x:f>SUM(C5:C8)</x:f>
        <x:v>1</x:v>
      </x:c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</x:sheetData>
  <x:pageMargins left="0.7" right="0.7" top="0.75" bottom="0.75" header="0.3" footer="0.3"/>
  <x:drawing xmlns:r="http://schemas.openxmlformats.org/officeDocument/2006/relationships" r:id="Rf46d7548b0fc4f17"/>
</x:worksheet>
</file>